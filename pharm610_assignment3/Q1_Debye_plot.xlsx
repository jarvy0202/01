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Debye 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1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Debye plot (zero angle)</a:t>
            </a:r>
          </a:p>
        </rich>
      </tx>
    </title>
    <plotArea>
      <scatterChart>
        <ser>
          <idx val="0"/>
          <order val="0"/>
          <tx>
            <v>Experimental data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backward val="0.5"/>
            <dispRSqr val="1"/>
            <dispEq val="1"/>
          </trendline>
          <xVal>
            <numRef>
              <f>'Q1 Debye plot'!$A$4:$A$8</f>
            </numRef>
          </xVal>
          <yVal>
            <numRef>
              <f>'Q1 Debye plot'!$C$4:$C$8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Concentration, c (g/L)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Kc/R0 (x10^-6 mol/g)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</cols>
  <sheetData>
    <row r="1">
      <c r="A1" s="1" t="inlineStr">
        <is>
          <t>Q1 - SLS Debye plot: Kc/R0 = 1/Mw + 2*A2*c</t>
        </is>
      </c>
    </row>
    <row r="3">
      <c r="A3" s="2" t="inlineStr">
        <is>
          <t>c (g/L)</t>
        </is>
      </c>
      <c r="B3" s="2" t="inlineStr">
        <is>
          <t>Kc/R0 (mol/g)</t>
        </is>
      </c>
      <c r="C3" s="2" t="inlineStr">
        <is>
          <t>Kc/R0 (x10^-6 mol/g)</t>
        </is>
      </c>
    </row>
    <row r="4">
      <c r="A4" t="n">
        <v>0.5</v>
      </c>
      <c r="B4" s="3" t="n">
        <v>2.4e-06</v>
      </c>
      <c r="C4" s="4">
        <f>B4*1E6</f>
        <v/>
      </c>
    </row>
    <row r="5">
      <c r="A5" t="n">
        <v>1</v>
      </c>
      <c r="B5" s="3" t="n">
        <v>2.8e-06</v>
      </c>
      <c r="C5" s="4">
        <f>B5*1E6</f>
        <v/>
      </c>
    </row>
    <row r="6">
      <c r="A6" t="n">
        <v>1.5</v>
      </c>
      <c r="B6" s="3" t="n">
        <v>3.2e-06</v>
      </c>
      <c r="C6" s="4">
        <f>B6*1E6</f>
        <v/>
      </c>
    </row>
    <row r="7">
      <c r="A7" t="n">
        <v>2</v>
      </c>
      <c r="B7" s="3" t="n">
        <v>3.6e-06</v>
      </c>
      <c r="C7" s="4">
        <f>B7*1E6</f>
        <v/>
      </c>
    </row>
    <row r="8">
      <c r="A8" t="n">
        <v>2.5</v>
      </c>
      <c r="B8" s="3" t="n">
        <v>4e-06</v>
      </c>
      <c r="C8" s="4">
        <f>B8*1E6</f>
        <v/>
      </c>
    </row>
    <row r="10">
      <c r="A10" s="5" t="inlineStr">
        <is>
          <t>Slope = 2*A2 (mol·L/g²)</t>
        </is>
      </c>
      <c r="B10" s="3">
        <f>SLOPE(B4:B8,A4:A8)</f>
        <v/>
      </c>
    </row>
    <row r="11">
      <c r="A11" s="5" t="inlineStr">
        <is>
          <t>Intercept = 1/Mw (mol/g)</t>
        </is>
      </c>
      <c r="B11" s="3">
        <f>INTERCEPT(B4:B8,A4:A8)</f>
        <v/>
      </c>
    </row>
    <row r="12">
      <c r="A12" s="5" t="inlineStr">
        <is>
          <t>R²</t>
        </is>
      </c>
      <c r="B12" s="6">
        <f>RSQ(B4:B8,A4:A8)</f>
        <v/>
      </c>
    </row>
    <row r="13">
      <c r="A13" s="5" t="inlineStr">
        <is>
          <t>Mw of micelle (g/mol) = 1/intercept</t>
        </is>
      </c>
      <c r="B13" s="7">
        <f>1/B11</f>
        <v/>
      </c>
    </row>
    <row r="14">
      <c r="A14" s="5" t="inlineStr">
        <is>
          <t>Unimer molecular weight (g/mol)</t>
        </is>
      </c>
      <c r="B14" s="7" t="n">
        <v>50000</v>
      </c>
    </row>
    <row r="15">
      <c r="A15" s="5" t="inlineStr">
        <is>
          <t>Aggregation number Nagg = Mw(micelle)/M(unimer)</t>
        </is>
      </c>
      <c r="B15" s="8">
        <f>B13/B14</f>
        <v/>
      </c>
    </row>
    <row r="16">
      <c r="A16" s="5" t="inlineStr">
        <is>
          <t>A2 (mol·L/g²) = slope/2</t>
        </is>
      </c>
      <c r="B16" s="3">
        <f>B10/2</f>
        <v/>
      </c>
    </row>
    <row r="17">
      <c r="A17" s="5" t="inlineStr">
        <is>
          <t>A2 (mol·mL/g²)</t>
        </is>
      </c>
      <c r="B17" s="3">
        <f>B16*1000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2026-10-29T21:30:13Z</dcterms:created>
  <dcterms:modified xmlns:dcterms="http://purl.org/dc/terms/" xmlns:xsi="http://www.w3.org/2001/XMLSchema-instance" xsi:type="dcterms:W3CDTF">2026-10-29T21:30:13Z</dcterms:modified>
</cp:coreProperties>
</file>